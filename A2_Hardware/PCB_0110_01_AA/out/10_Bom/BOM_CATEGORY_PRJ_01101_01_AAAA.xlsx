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WORKS\Project\isolated-usb-rs485-rs422-converter\A2_Hardware\PCB_0110_01_AA\out\10_Bom\"/>
    </mc:Choice>
  </mc:AlternateContent>
  <xr:revisionPtr revIDLastSave="0" documentId="13_ncr:1_{2790EC6B-4B4F-4FD4-AEF5-A951212C5E85}" xr6:coauthVersionLast="47" xr6:coauthVersionMax="47" xr10:uidLastSave="{00000000-0000-0000-0000-000000000000}"/>
  <bookViews>
    <workbookView xWindow="-120" yWindow="-120" windowWidth="38640" windowHeight="21240" tabRatio="211" activeTab="1" xr2:uid="{00000000-000D-0000-FFFF-FFFF00000000}"/>
  </bookViews>
  <sheets>
    <sheet name="Project Information" sheetId="4" r:id="rId1"/>
    <sheet name="Part List Report" sheetId="5" r:id="rId2"/>
  </sheets>
  <definedNames>
    <definedName name="_xlnm._FilterDatabase" localSheetId="1" hidden="1">'Part List Report'!$A$3:$N$38</definedName>
    <definedName name="gCardTotalNumber">#REF!</definedName>
    <definedName name="gCardUnitPrice">#REF!</definedName>
    <definedName name="gPcbPrice">#REF!</definedName>
    <definedName name="gTooling">#REF!</definedName>
    <definedName name="vKartAdedi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19" i="5" l="1"/>
  <c r="A36" i="5"/>
  <c r="A35" i="5"/>
  <c r="A37" i="5"/>
  <c r="A34" i="5"/>
  <c r="A33" i="5"/>
  <c r="A32" i="5"/>
  <c r="A10" i="5"/>
  <c r="A8" i="5"/>
  <c r="A18" i="5"/>
  <c r="A7" i="5"/>
  <c r="A31" i="5"/>
  <c r="A17" i="5"/>
  <c r="A30" i="5"/>
  <c r="A16" i="5"/>
  <c r="A15" i="5"/>
  <c r="A29" i="5"/>
  <c r="A28" i="5"/>
  <c r="A9" i="5"/>
  <c r="A27" i="5"/>
  <c r="A6" i="5"/>
  <c r="A14" i="5"/>
  <c r="A26" i="5"/>
  <c r="A25" i="5"/>
  <c r="A24" i="5"/>
  <c r="A23" i="5"/>
  <c r="A22" i="5"/>
  <c r="A21" i="5"/>
  <c r="A5" i="5"/>
  <c r="A4" i="5"/>
  <c r="A13" i="5"/>
  <c r="A12" i="5"/>
  <c r="A20" i="5"/>
  <c r="A11" i="5"/>
  <c r="B21" i="4"/>
  <c r="B20" i="4"/>
</calcChain>
</file>

<file path=xl/sharedStrings.xml><?xml version="1.0" encoding="utf-8"?>
<sst xmlns="http://schemas.openxmlformats.org/spreadsheetml/2006/main" count="451" uniqueCount="216">
  <si>
    <t>Variant:</t>
  </si>
  <si>
    <t>1 FORM A SOLID STATE RELAY Transistor Output SSR, 1-Channel, 3750V Isolation</t>
  </si>
  <si>
    <t>Quantity</t>
  </si>
  <si>
    <t xml:space="preserve"> </t>
  </si>
  <si>
    <t>Designator</t>
  </si>
  <si>
    <t>Project Code:</t>
  </si>
  <si>
    <t>PBA Description:</t>
  </si>
  <si>
    <t>Total Part Cost:</t>
  </si>
  <si>
    <t>Tarih / Date</t>
  </si>
  <si>
    <t>Variant</t>
  </si>
  <si>
    <t>NO</t>
  </si>
  <si>
    <t>Supplier 1</t>
  </si>
  <si>
    <t>Manufacturer Part Number</t>
  </si>
  <si>
    <t>Supplier Part Number 1</t>
  </si>
  <si>
    <t>Category</t>
  </si>
  <si>
    <t>Sub-Category</t>
  </si>
  <si>
    <t>Mount</t>
  </si>
  <si>
    <t>Purpose Of Usage</t>
  </si>
  <si>
    <t>Layer</t>
  </si>
  <si>
    <t>Project Name</t>
  </si>
  <si>
    <t>Description</t>
  </si>
  <si>
    <t>Document Number</t>
  </si>
  <si>
    <t>Release Date</t>
  </si>
  <si>
    <t>PBA Informations</t>
  </si>
  <si>
    <t>PBA Responsibilities</t>
  </si>
  <si>
    <t>Drawn by</t>
  </si>
  <si>
    <t>Checked by</t>
  </si>
  <si>
    <t>Approved by</t>
  </si>
  <si>
    <t>SCGC Electronics</t>
  </si>
  <si>
    <t xml:space="preserve">                         SCGC Electronics</t>
  </si>
  <si>
    <t>USB to RS485_RS422 Converter</t>
  </si>
  <si>
    <t>PRJ_01101</t>
  </si>
  <si>
    <t>AA</t>
  </si>
  <si>
    <t>09/2026</t>
  </si>
  <si>
    <t>Cemil Kendir</t>
  </si>
  <si>
    <t>Cemre Kendir</t>
  </si>
  <si>
    <t>Suheyla Inal KENDİR</t>
  </si>
  <si>
    <t>PRJ_0110_AA.PrjPCB</t>
  </si>
  <si>
    <t>Stock ID</t>
  </si>
  <si>
    <t>??</t>
  </si>
  <si>
    <t>RS485</t>
  </si>
  <si>
    <t>USB_to_UART</t>
  </si>
  <si>
    <t>BASIC</t>
  </si>
  <si>
    <t>ISOLATOR</t>
  </si>
  <si>
    <t>INTEGRATED CIRCUITS</t>
  </si>
  <si>
    <t>MECHANICAL</t>
  </si>
  <si>
    <t>PROTECTION</t>
  </si>
  <si>
    <t>DIODE</t>
  </si>
  <si>
    <t>TRANSISTOR</t>
  </si>
  <si>
    <t>CONNECTORS</t>
  </si>
  <si>
    <t>INDUCTORS</t>
  </si>
  <si>
    <t>RESISTOR</t>
  </si>
  <si>
    <t>CAPASITOR</t>
  </si>
  <si>
    <t>SOLID STATE RELAY</t>
  </si>
  <si>
    <t>LED PIPE</t>
  </si>
  <si>
    <t>TBU</t>
  </si>
  <si>
    <t>TVS - BI DIRECTIONAL</t>
  </si>
  <si>
    <t>PCB</t>
  </si>
  <si>
    <t>LOGIC</t>
  </si>
  <si>
    <t>LED</t>
  </si>
  <si>
    <t>PMIC - LINEAR REGULATOR</t>
  </si>
  <si>
    <t>USB to UART</t>
  </si>
  <si>
    <t>NPN</t>
  </si>
  <si>
    <t>RS485 DRIVER</t>
  </si>
  <si>
    <t>TERMINAL BLOCK</t>
  </si>
  <si>
    <t>USB Type-C</t>
  </si>
  <si>
    <t>COMMON MODE CHOKES</t>
  </si>
  <si>
    <t>TVS</t>
  </si>
  <si>
    <t>CHIP RESISTOR</t>
  </si>
  <si>
    <t>CERAMIC</t>
  </si>
  <si>
    <t>FIXED INDUCTORS</t>
  </si>
  <si>
    <t>Bivar straight light guide, rigidity, PCBinstall, 4.1 x 4.1 x 10.2mm</t>
  </si>
  <si>
    <t>A Single Bi-Directional, 650V, 200mA, 3-Pin DFN pkg TBU | Bourns TBU-CA065-200-WH</t>
  </si>
  <si>
    <t>SM Series 12 V 400 W Asymmetrical TVS Diode for Extended Common-Mode - SOT-23</t>
  </si>
  <si>
    <t>MC74VHC1G08 Series 2 to 5.5 SMT Single 2 Input AND Gate - SOT-23-5</t>
  </si>
  <si>
    <t>LED BLUE CLEAR CHIP SMD</t>
  </si>
  <si>
    <t>LED RED CLEAR SMD</t>
  </si>
  <si>
    <t>LED GREEN CLEAR CHIP SMD</t>
  </si>
  <si>
    <t>Linear Voltage Regulator IC Positive Fixed 1 Output 250mA SOT-23-5</t>
  </si>
  <si>
    <t>USB Interface IC USB to Basic Serial UART IC SSOP-16</t>
  </si>
  <si>
    <t>TRANS NPN 45V 0.1A SOT23</t>
  </si>
  <si>
    <t>3.0 V to 5.5 V, ±12 kV IEC ESD Protected, Half Duplex 50 Mbps RS-485 Transceiver</t>
  </si>
  <si>
    <t>WR-TBL Terminal block - Rising Cage - THT</t>
  </si>
  <si>
    <t>Wr-com_usb 2.0_TYPE C_horizontal</t>
  </si>
  <si>
    <t>WPME-CDIP Capacitive Digital Isolator Powered</t>
  </si>
  <si>
    <t>Common Mode Chokes Dual 90Ohm 100MHz 370mA SMD T/R</t>
  </si>
  <si>
    <t>WURTH ELEKTRONIK - 824015 - TVS Diode, 82401 Series, Bidirectional, 5 V, 13 V, SOT-23, 6 Pins</t>
  </si>
  <si>
    <t>Common Mode Chokes Dual 1000uH 6kOhm 100kHz 0.8A 0.207Ohm DCR SMD T/R Automotive AEC-Q200</t>
  </si>
  <si>
    <t>400R, %0.1, 1/8W, 0603</t>
  </si>
  <si>
    <t>220R, %1, 1/10W, 0603</t>
  </si>
  <si>
    <t>120R, %5, 1/8W, 0805</t>
  </si>
  <si>
    <t>100nF, 25V, X7R, 0603</t>
  </si>
  <si>
    <t>10UF, 16V, X7R, 1206</t>
  </si>
  <si>
    <t>10uF ,10V ,X7R ,0805</t>
  </si>
  <si>
    <t>10K, %1, 1/10W, 0603</t>
  </si>
  <si>
    <t>5.1K, %1, 1/16W, 0402</t>
  </si>
  <si>
    <t>WE-PD2, Unshielded Wire-wound SMD Inductor With Ferrite Core, 4.7 Uh, 1.82A I</t>
  </si>
  <si>
    <t>1uF, 50V, X7R, 0603</t>
  </si>
  <si>
    <t>1nF, 2kV, X7R, 1206</t>
  </si>
  <si>
    <t>0R ,%1 ,1/10 W ,0603</t>
  </si>
  <si>
    <t>IC5_RS422, IC5_RS485</t>
  </si>
  <si>
    <t>MCH1, MCH2, MCH3, MCH4</t>
  </si>
  <si>
    <t>TBU1_RS422, TBU1_RS485, TBU2_RS422, TBU2_RS485</t>
  </si>
  <si>
    <t>TVS1_RS422, TVS1_RS485</t>
  </si>
  <si>
    <t>PCB1</t>
  </si>
  <si>
    <t>IC3</t>
  </si>
  <si>
    <t>LED3</t>
  </si>
  <si>
    <t>LED2, LED4</t>
  </si>
  <si>
    <t>LED1</t>
  </si>
  <si>
    <t>IC6</t>
  </si>
  <si>
    <t>IC1</t>
  </si>
  <si>
    <t>TR1</t>
  </si>
  <si>
    <t>IC2_RS422, IC2_RS485</t>
  </si>
  <si>
    <t>CON2, CON3</t>
  </si>
  <si>
    <t>CON1</t>
  </si>
  <si>
    <t>IC4_CH_1, IC4_CH_2</t>
  </si>
  <si>
    <t>CM2</t>
  </si>
  <si>
    <t>TVS3</t>
  </si>
  <si>
    <t>CM1_RS422, CM1_RS485</t>
  </si>
  <si>
    <t>R11_RS422, R11_RS485</t>
  </si>
  <si>
    <t>R3, R4, R5, R12</t>
  </si>
  <si>
    <t>R7_RS422, R7_RS485</t>
  </si>
  <si>
    <t>C3, C4</t>
  </si>
  <si>
    <t>C7</t>
  </si>
  <si>
    <t>C12_RS422, C12_RS485</t>
  </si>
  <si>
    <t>C8, C9</t>
  </si>
  <si>
    <t>C10_CH_1, C10_CH_2, C11_CH_1, C11_CH_2</t>
  </si>
  <si>
    <t>C2</t>
  </si>
  <si>
    <t>R13, R14, R15, R16</t>
  </si>
  <si>
    <t>R1, R2</t>
  </si>
  <si>
    <t>L1</t>
  </si>
  <si>
    <t>C13, C14</t>
  </si>
  <si>
    <t>C1</t>
  </si>
  <si>
    <t>R8_RS422, R8_RS485, R9_RS422, R9_RS485</t>
  </si>
  <si>
    <t>Manufacturer</t>
  </si>
  <si>
    <t>Vishay</t>
  </si>
  <si>
    <t>Bivar</t>
  </si>
  <si>
    <t>Bourns</t>
  </si>
  <si>
    <t>Semtech</t>
  </si>
  <si>
    <t>CUSTOM</t>
  </si>
  <si>
    <t>ON Semiconductor</t>
  </si>
  <si>
    <t>Vishay Lite-On</t>
  </si>
  <si>
    <t>TEXAS</t>
  </si>
  <si>
    <t>FTDI</t>
  </si>
  <si>
    <t>Nexperia</t>
  </si>
  <si>
    <t>Analog Devices</t>
  </si>
  <si>
    <t>Wurth Elektronik</t>
  </si>
  <si>
    <t>Wurth Electronics</t>
  </si>
  <si>
    <t>Vishay Dale Thin Film</t>
  </si>
  <si>
    <t>YAGEO</t>
  </si>
  <si>
    <t>Yageo</t>
  </si>
  <si>
    <t>Samsung</t>
  </si>
  <si>
    <t>VO1400AEFTR</t>
  </si>
  <si>
    <t>VLP-400-F</t>
  </si>
  <si>
    <t>TBU-CA065-200-WH</t>
  </si>
  <si>
    <t>SM712.TCT</t>
  </si>
  <si>
    <t>MC74VHC1G08DTT1G</t>
  </si>
  <si>
    <t>LTST-C171TBKT</t>
  </si>
  <si>
    <t>LTST-C171KRKT</t>
  </si>
  <si>
    <t>LTST-C171GKT</t>
  </si>
  <si>
    <t>LP5907MFX-3.3/NOPB</t>
  </si>
  <si>
    <t>FT230XS-U</t>
  </si>
  <si>
    <t>BC847,215</t>
  </si>
  <si>
    <t>ADM3065EARZ-R7</t>
  </si>
  <si>
    <t>691210910004</t>
  </si>
  <si>
    <t>629722000214</t>
  </si>
  <si>
    <t>18024115401H</t>
  </si>
  <si>
    <t>744232090</t>
  </si>
  <si>
    <t>824015</t>
  </si>
  <si>
    <t>744222</t>
  </si>
  <si>
    <t>PAT0603E4000BST1</t>
  </si>
  <si>
    <t>RC0603FR-07220RL</t>
  </si>
  <si>
    <t>RC0805JR-07120RL</t>
  </si>
  <si>
    <t>CC0603KRX7R8BB104</t>
  </si>
  <si>
    <t>CL31B106MOHNNNE</t>
  </si>
  <si>
    <t>CC0805KFX7R6BB106</t>
  </si>
  <si>
    <t>RT0603FRE0710KL</t>
  </si>
  <si>
    <t>RC0402FR-075K1L</t>
  </si>
  <si>
    <t>744773047</t>
  </si>
  <si>
    <t>CC0603KRX7R9BB105</t>
  </si>
  <si>
    <t>CS1206KKX7RDBB102</t>
  </si>
  <si>
    <t>RC0603FR-070RL</t>
  </si>
  <si>
    <t>Digi-Key</t>
  </si>
  <si>
    <t>Digikey</t>
  </si>
  <si>
    <t>VO1400AEFTR-ND</t>
  </si>
  <si>
    <t>492-1516-ND</t>
  </si>
  <si>
    <t>TBU-CA065-200-WHTR-ND</t>
  </si>
  <si>
    <t>SM712CT-ND</t>
  </si>
  <si>
    <t>MC74VHC1G08DTT1GOSTR-ND</t>
  </si>
  <si>
    <t>160-1645-1-ND</t>
  </si>
  <si>
    <t>160-1427-1-ND</t>
  </si>
  <si>
    <t>160-1423-1-ND</t>
  </si>
  <si>
    <t>296-38557-2-ND</t>
  </si>
  <si>
    <t>768-1154-5-ND</t>
  </si>
  <si>
    <t>1727-4855-1-ND</t>
  </si>
  <si>
    <t>505-ADM3065EARZ-R7TR-ND</t>
  </si>
  <si>
    <t>732-691210910004-ND</t>
  </si>
  <si>
    <t>732-629722000214TR-ND</t>
  </si>
  <si>
    <t>732-18024115401HTR-ND</t>
  </si>
  <si>
    <t>732-1469-1-ND</t>
  </si>
  <si>
    <t>732-4467-1-ND</t>
  </si>
  <si>
    <t>732-1485-1-ND</t>
  </si>
  <si>
    <t>311-220HRCT-ND</t>
  </si>
  <si>
    <t>311-120ARCT-ND</t>
  </si>
  <si>
    <t>311-1341-1-ND</t>
  </si>
  <si>
    <t>1276-6641-1-ND</t>
  </si>
  <si>
    <t>13-CC0805KFX7R6BB106CT-ND</t>
  </si>
  <si>
    <t>YAG2321CT-ND</t>
  </si>
  <si>
    <t>311-5.10KLRTR-ND</t>
  </si>
  <si>
    <t>732-1252-1-ND</t>
  </si>
  <si>
    <t>311-2082-2-ND</t>
  </si>
  <si>
    <t>13-CS1206KKX7RDBB102TR-ND</t>
  </si>
  <si>
    <t>311-0.0HRCT-ND</t>
  </si>
  <si>
    <t>SMD</t>
  </si>
  <si>
    <t>MECH</t>
  </si>
  <si>
    <t>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</si>
</sst>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\ [$USD]"/>
    <numFmt numFmtId="166" formatCode="[$-C09]dd\-mmm\-yy;@"/>
    <numFmt numFmtId="167" formatCode="[$-409]h:mm:ss\ AM/PM;@"/>
  </numFmts>
  <fonts count="14" x14ac:knownFonts="1">
    <font>
      <sz val="10"/>
      <color theme="1"/>
      <name val="Arial"/>
    </font>
    <font>
      <sz val="10"/>
      <color theme="1"/>
      <name val="Arial"/>
    </font>
    <font>
      <b/>
      <sz val="10"/>
      <color theme="1"/>
      <name val="Arial"/>
    </font>
    <font>
      <sz val="10"/>
      <color indexed="13"/>
      <name val="Arial"/>
      <charset val="162"/>
    </font>
    <font>
      <sz val="10"/>
      <color indexed="10"/>
      <name val="Arial"/>
    </font>
    <font>
      <b/>
      <sz val="12"/>
      <color theme="1"/>
      <name val="Arial"/>
    </font>
    <font>
      <b/>
      <sz val="12"/>
      <color indexed="10"/>
      <name val="Arial"/>
    </font>
    <font>
      <sz val="12"/>
      <color theme="1"/>
      <name val="Arial"/>
      <charset val="162"/>
    </font>
    <font>
      <sz val="12"/>
      <color indexed="10"/>
      <name val="Arial"/>
    </font>
    <font>
      <b/>
      <sz val="11"/>
      <color theme="1"/>
      <name val="Calibri"/>
      <scheme val="minor"/>
    </font>
    <font>
      <sz val="10"/>
      <color theme="1"/>
      <name val="Arial"/>
      <charset val="162"/>
    </font>
    <font>
      <sz val="10"/>
      <color rgb="FF000000"/>
      <name val="Arial"/>
    </font>
    <font>
      <b/>
      <sz val="18"/>
      <color theme="1"/>
      <name val="Arial"/>
    </font>
    <font>
      <b/>
      <sz val="16"/>
      <color theme="1"/>
      <name val="Arial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indexed="13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 applyNumberFormat="1" applyFont="1" applyFill="1" applyBorder="1" applyAlignment="1" applyProtection="1"/>
    <xf numFmtId="0" fontId="0" fillId="0" borderId="0" xfId="0" applyNumberFormat="1" applyFont="1" applyFill="1" applyBorder="1" applyAlignment="1" applyProtection="1">
      <alignment vertical="top"/>
    </xf>
    <xf numFmtId="0" fontId="1" fillId="0" borderId="0" xfId="0" applyNumberFormat="1" applyFont="1" applyFill="1" applyBorder="1" applyAlignment="1" applyProtection="1">
      <alignment vertical="top"/>
    </xf>
    <xf numFmtId="0" fontId="0" fillId="0" borderId="0" xfId="0" applyNumberFormat="1" applyFont="1" applyFill="1" applyBorder="1" applyAlignment="1" applyProtection="1">
      <alignment horizontal="left" vertical="top"/>
    </xf>
    <xf numFmtId="0" fontId="1" fillId="0" borderId="0" xfId="0" applyNumberFormat="1" applyFont="1" applyFill="1" applyBorder="1" applyAlignment="1" applyProtection="1">
      <alignment horizontal="left" vertical="top"/>
      <protection locked="0"/>
    </xf>
    <xf numFmtId="0" fontId="1" fillId="0" borderId="0" xfId="0" applyNumberFormat="1" applyFont="1" applyFill="1" applyBorder="1" applyAlignment="1" applyProtection="1">
      <alignment vertical="top"/>
      <protection locked="0"/>
    </xf>
    <xf numFmtId="0" fontId="0" fillId="2" borderId="1" xfId="0" applyNumberFormat="1" applyFont="1" applyFill="1" applyBorder="1" applyAlignment="1" applyProtection="1"/>
    <xf numFmtId="0" fontId="0" fillId="3" borderId="1" xfId="0" applyNumberFormat="1" applyFont="1" applyFill="1" applyBorder="1" applyAlignment="1" applyProtection="1"/>
    <xf numFmtId="0" fontId="0" fillId="2" borderId="3" xfId="0" applyNumberFormat="1" applyFont="1" applyFill="1" applyBorder="1" applyAlignment="1" applyProtection="1"/>
    <xf numFmtId="0" fontId="0" fillId="4" borderId="5" xfId="0" applyNumberFormat="1" applyFont="1" applyFill="1" applyBorder="1" applyAlignment="1" applyProtection="1"/>
    <xf numFmtId="0" fontId="0" fillId="4" borderId="6" xfId="0" applyNumberFormat="1" applyFont="1" applyFill="1" applyBorder="1" applyAlignment="1" applyProtection="1"/>
    <xf numFmtId="0" fontId="0" fillId="0" borderId="7" xfId="0" applyNumberFormat="1" applyFont="1" applyFill="1" applyBorder="1" applyAlignment="1" applyProtection="1"/>
    <xf numFmtId="0" fontId="0" fillId="0" borderId="6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>
      <alignment vertical="center"/>
    </xf>
    <xf numFmtId="0" fontId="6" fillId="0" borderId="8" xfId="0" applyNumberFormat="1" applyFont="1" applyFill="1" applyBorder="1" applyAlignment="1" applyProtection="1">
      <alignment horizontal="right" vertical="center"/>
    </xf>
    <xf numFmtId="0" fontId="6" fillId="0" borderId="9" xfId="0" applyNumberFormat="1" applyFont="1" applyFill="1" applyBorder="1" applyAlignment="1" applyProtection="1">
      <alignment horizontal="right" vertical="center"/>
    </xf>
    <xf numFmtId="0" fontId="5" fillId="5" borderId="10" xfId="0" applyNumberFormat="1" applyFont="1" applyFill="1" applyBorder="1" applyAlignment="1" applyProtection="1">
      <alignment horizontal="center" vertical="center" wrapText="1"/>
    </xf>
    <xf numFmtId="0" fontId="6" fillId="0" borderId="11" xfId="0" applyNumberFormat="1" applyFont="1" applyFill="1" applyBorder="1" applyAlignment="1" applyProtection="1">
      <alignment horizontal="right" vertical="center"/>
    </xf>
    <xf numFmtId="0" fontId="6" fillId="0" borderId="12" xfId="0" applyNumberFormat="1" applyFont="1" applyFill="1" applyBorder="1" applyAlignment="1" applyProtection="1">
      <alignment horizontal="right" vertical="center"/>
    </xf>
    <xf numFmtId="0" fontId="4" fillId="4" borderId="11" xfId="0" applyNumberFormat="1" applyFont="1" applyFill="1" applyBorder="1" applyAlignment="1" applyProtection="1">
      <alignment horizontal="left"/>
    </xf>
    <xf numFmtId="166" fontId="4" fillId="4" borderId="7" xfId="0" applyNumberFormat="1" applyFont="1" applyFill="1" applyBorder="1" applyAlignment="1" applyProtection="1">
      <alignment horizontal="left"/>
    </xf>
    <xf numFmtId="167" fontId="4" fillId="4" borderId="7" xfId="0" applyNumberFormat="1" applyFont="1" applyFill="1" applyBorder="1" applyAlignment="1" applyProtection="1">
      <alignment horizontal="left"/>
    </xf>
    <xf numFmtId="0" fontId="10" fillId="3" borderId="1" xfId="0" applyNumberFormat="1" applyFont="1" applyFill="1" applyBorder="1" applyAlignment="1" applyProtection="1"/>
    <xf numFmtId="0" fontId="10" fillId="2" borderId="1" xfId="0" applyNumberFormat="1" applyFont="1" applyFill="1" applyBorder="1" applyAlignment="1" applyProtection="1"/>
    <xf numFmtId="0" fontId="10" fillId="2" borderId="3" xfId="0" applyNumberFormat="1" applyFont="1" applyFill="1" applyBorder="1" applyAlignment="1" applyProtection="1"/>
    <xf numFmtId="164" fontId="8" fillId="6" borderId="13" xfId="0" applyNumberFormat="1" applyFont="1" applyFill="1" applyBorder="1" applyAlignment="1" applyProtection="1">
      <alignment horizontal="left"/>
    </xf>
    <xf numFmtId="0" fontId="0" fillId="0" borderId="13" xfId="0" applyNumberFormat="1" applyFont="1" applyFill="1" applyBorder="1" applyAlignment="1" applyProtection="1">
      <alignment vertical="top"/>
    </xf>
    <xf numFmtId="0" fontId="11" fillId="4" borderId="13" xfId="0" applyNumberFormat="1" applyFont="1" applyFill="1" applyBorder="1" applyAlignment="1" applyProtection="1">
      <alignment horizontal="left" vertical="center" wrapText="1"/>
    </xf>
    <xf numFmtId="0" fontId="1" fillId="4" borderId="13" xfId="0" applyNumberFormat="1" applyFont="1" applyFill="1" applyBorder="1" applyAlignment="1" applyProtection="1">
      <alignment horizontal="left" vertical="center" wrapText="1"/>
    </xf>
    <xf numFmtId="0" fontId="1" fillId="0" borderId="13" xfId="0" applyNumberFormat="1" applyFont="1" applyFill="1" applyBorder="1" applyAlignment="1" applyProtection="1">
      <alignment horizontal="right" vertical="center" wrapText="1"/>
    </xf>
    <xf numFmtId="0" fontId="5" fillId="5" borderId="11" xfId="0" applyNumberFormat="1" applyFont="1" applyFill="1" applyBorder="1" applyAlignment="1" applyProtection="1">
      <alignment horizontal="right" vertical="center"/>
    </xf>
    <xf numFmtId="0" fontId="5" fillId="5" borderId="14" xfId="0" applyNumberFormat="1" applyFont="1" applyFill="1" applyBorder="1" applyAlignment="1" applyProtection="1">
      <alignment horizontal="center" vertical="center" wrapText="1"/>
    </xf>
    <xf numFmtId="0" fontId="3" fillId="0" borderId="13" xfId="0" applyNumberFormat="1" applyFont="1" applyFill="1" applyBorder="1" applyAlignment="1" applyProtection="1"/>
    <xf numFmtId="0" fontId="1" fillId="0" borderId="13" xfId="0" applyNumberFormat="1" applyFont="1" applyFill="1" applyBorder="1" applyAlignment="1" applyProtection="1">
      <alignment vertical="top"/>
    </xf>
    <xf numFmtId="0" fontId="5" fillId="5" borderId="13" xfId="0" applyNumberFormat="1" applyFont="1" applyFill="1" applyBorder="1" applyAlignment="1" applyProtection="1">
      <alignment horizontal="center" vertical="center" wrapText="1"/>
    </xf>
    <xf numFmtId="0" fontId="0" fillId="0" borderId="13" xfId="0" applyNumberFormat="1" applyFont="1" applyFill="1" applyBorder="1" applyAlignment="1" applyProtection="1">
      <alignment horizontal="left" vertical="top"/>
    </xf>
    <xf numFmtId="0" fontId="0" fillId="0" borderId="23" xfId="0" applyNumberFormat="1" applyFont="1" applyFill="1" applyBorder="1" applyAlignment="1" applyProtection="1"/>
    <xf numFmtId="0" fontId="12" fillId="0" borderId="24" xfId="0" applyNumberFormat="1" applyFont="1" applyFill="1" applyBorder="1" applyAlignment="1" applyProtection="1">
      <alignment horizontal="left" vertical="center"/>
    </xf>
    <xf numFmtId="0" fontId="1" fillId="2" borderId="2" xfId="0" quotePrefix="1" applyNumberFormat="1" applyFont="1" applyFill="1" applyBorder="1" applyAlignment="1" applyProtection="1"/>
    <xf numFmtId="0" fontId="0" fillId="3" borderId="2" xfId="0" quotePrefix="1" applyNumberFormat="1" applyFont="1" applyFill="1" applyBorder="1" applyAlignment="1" applyProtection="1"/>
    <xf numFmtId="0" fontId="10" fillId="2" borderId="2" xfId="0" quotePrefix="1" applyNumberFormat="1" applyFont="1" applyFill="1" applyBorder="1" applyAlignment="1" applyProtection="1"/>
    <xf numFmtId="0" fontId="10" fillId="3" borderId="2" xfId="0" quotePrefix="1" applyNumberFormat="1" applyFont="1" applyFill="1" applyBorder="1" applyAlignment="1" applyProtection="1"/>
    <xf numFmtId="0" fontId="10" fillId="2" borderId="4" xfId="0" quotePrefix="1" applyNumberFormat="1" applyFont="1" applyFill="1" applyBorder="1" applyAlignment="1" applyProtection="1"/>
    <xf numFmtId="0" fontId="0" fillId="2" borderId="2" xfId="0" quotePrefix="1" applyNumberFormat="1" applyFont="1" applyFill="1" applyBorder="1" applyAlignment="1" applyProtection="1"/>
    <xf numFmtId="0" fontId="0" fillId="2" borderId="4" xfId="0" quotePrefix="1" applyNumberFormat="1" applyFont="1" applyFill="1" applyBorder="1" applyAlignment="1" applyProtection="1"/>
    <xf numFmtId="0" fontId="7" fillId="0" borderId="8" xfId="0" quotePrefix="1" applyNumberFormat="1" applyFont="1" applyFill="1" applyBorder="1" applyAlignment="1" applyProtection="1">
      <alignment horizontal="left" vertical="center"/>
    </xf>
    <xf numFmtId="49" fontId="1" fillId="4" borderId="13" xfId="0" applyNumberFormat="1" applyFont="1" applyFill="1" applyBorder="1" applyAlignment="1" applyProtection="1">
      <alignment horizontal="left" vertical="center" wrapText="1"/>
    </xf>
    <xf numFmtId="0" fontId="9" fillId="5" borderId="15" xfId="0" applyNumberFormat="1" applyFont="1" applyFill="1" applyBorder="1" applyAlignment="1" applyProtection="1">
      <alignment horizontal="center"/>
    </xf>
    <xf numFmtId="0" fontId="9" fillId="5" borderId="16" xfId="0" applyNumberFormat="1" applyFont="1" applyFill="1" applyBorder="1" applyAlignment="1" applyProtection="1">
      <alignment horizontal="center"/>
    </xf>
    <xf numFmtId="0" fontId="9" fillId="3" borderId="15" xfId="0" applyNumberFormat="1" applyFont="1" applyFill="1" applyBorder="1" applyAlignment="1" applyProtection="1">
      <alignment horizontal="center"/>
    </xf>
    <xf numFmtId="0" fontId="9" fillId="3" borderId="16" xfId="0" applyNumberFormat="1" applyFont="1" applyFill="1" applyBorder="1" applyAlignment="1" applyProtection="1">
      <alignment horizontal="center"/>
    </xf>
    <xf numFmtId="0" fontId="13" fillId="0" borderId="11" xfId="0" quotePrefix="1" applyNumberFormat="1" applyFont="1" applyFill="1" applyBorder="1" applyAlignment="1" applyProtection="1">
      <alignment horizontal="center" vertical="center"/>
    </xf>
    <xf numFmtId="0" fontId="13" fillId="0" borderId="5" xfId="0" applyNumberFormat="1" applyFont="1" applyFill="1" applyBorder="1" applyAlignment="1" applyProtection="1">
      <alignment horizontal="center" vertical="center"/>
    </xf>
    <xf numFmtId="0" fontId="13" fillId="0" borderId="20" xfId="0" applyNumberFormat="1" applyFont="1" applyFill="1" applyBorder="1" applyAlignment="1" applyProtection="1">
      <alignment horizontal="center" vertical="center"/>
    </xf>
    <xf numFmtId="0" fontId="13" fillId="0" borderId="22" xfId="0" applyNumberFormat="1" applyFont="1" applyFill="1" applyBorder="1" applyAlignment="1" applyProtection="1">
      <alignment horizontal="center" vertical="center"/>
    </xf>
    <xf numFmtId="0" fontId="6" fillId="0" borderId="11" xfId="0" applyNumberFormat="1" applyFont="1" applyFill="1" applyBorder="1" applyAlignment="1" applyProtection="1">
      <alignment horizontal="left" vertical="center"/>
    </xf>
    <xf numFmtId="0" fontId="6" fillId="0" borderId="19" xfId="0" applyNumberFormat="1" applyFont="1" applyFill="1" applyBorder="1" applyAlignment="1" applyProtection="1">
      <alignment horizontal="left" vertical="center"/>
    </xf>
    <xf numFmtId="0" fontId="6" fillId="0" borderId="5" xfId="0" applyNumberFormat="1" applyFont="1" applyFill="1" applyBorder="1" applyAlignment="1" applyProtection="1">
      <alignment horizontal="left" vertical="center"/>
    </xf>
    <xf numFmtId="0" fontId="6" fillId="0" borderId="20" xfId="0" applyNumberFormat="1" applyFont="1" applyFill="1" applyBorder="1" applyAlignment="1" applyProtection="1">
      <alignment horizontal="left" vertical="center"/>
    </xf>
    <xf numFmtId="0" fontId="6" fillId="0" borderId="21" xfId="0" applyNumberFormat="1" applyFont="1" applyFill="1" applyBorder="1" applyAlignment="1" applyProtection="1">
      <alignment horizontal="left" vertical="center"/>
    </xf>
    <xf numFmtId="0" fontId="6" fillId="0" borderId="22" xfId="0" applyNumberFormat="1" applyFont="1" applyFill="1" applyBorder="1" applyAlignment="1" applyProtection="1">
      <alignment horizontal="left" vertical="center"/>
    </xf>
    <xf numFmtId="0" fontId="7" fillId="0" borderId="16" xfId="0" quotePrefix="1" applyNumberFormat="1" applyFont="1" applyFill="1" applyBorder="1" applyAlignment="1" applyProtection="1">
      <alignment horizontal="left" vertical="center"/>
    </xf>
    <xf numFmtId="0" fontId="7" fillId="0" borderId="17" xfId="0" applyNumberFormat="1" applyFont="1" applyFill="1" applyBorder="1" applyAlignment="1" applyProtection="1">
      <alignment horizontal="left" vertical="center"/>
    </xf>
    <xf numFmtId="0" fontId="7" fillId="0" borderId="15" xfId="0" applyNumberFormat="1" applyFont="1" applyFill="1" applyBorder="1" applyAlignment="1" applyProtection="1">
      <alignment horizontal="left" vertical="center"/>
    </xf>
    <xf numFmtId="0" fontId="7" fillId="0" borderId="4" xfId="0" quotePrefix="1" applyNumberFormat="1" applyFont="1" applyFill="1" applyBorder="1" applyAlignment="1" applyProtection="1">
      <alignment horizontal="left" vertical="center"/>
    </xf>
    <xf numFmtId="0" fontId="7" fillId="0" borderId="18" xfId="0" applyNumberFormat="1" applyFont="1" applyFill="1" applyBorder="1" applyAlignment="1" applyProtection="1">
      <alignment horizontal="left" vertical="center"/>
    </xf>
    <xf numFmtId="0" fontId="7" fillId="0" borderId="12" xfId="0" applyNumberFormat="1" applyFont="1" applyFill="1" applyBorder="1" applyAlignment="1" applyProtection="1">
      <alignment horizontal="left" vertical="center"/>
    </xf>
  </cellXfs>
  <cellStyles count="1">
    <cellStyle name="Normal" xfId="0" builtinId="0"/>
  </cellStyles>
  <dxfs count="8">
    <dxf>
      <fill>
        <patternFill>
          <bgColor theme="4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CE9D8"/>
      <rgbColor rgb="00000000"/>
      <rgbColor rgb="00ECE9D8"/>
      <rgbColor rgb="00000000"/>
      <rgbColor rgb="00FFFFFF"/>
      <rgbColor rgb="00000000"/>
      <rgbColor rgb="00FFFFFF"/>
      <rgbColor rgb="00000000"/>
      <rgbColor rgb="00ECE9D8"/>
      <rgbColor rgb="00000000"/>
      <rgbColor rgb="00F1EFE2"/>
      <rgbColor rgb="0000000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656369</xdr:colOff>
      <xdr:row>10</xdr:row>
      <xdr:rowOff>172045</xdr:rowOff>
    </xdr:from>
    <xdr:to>
      <xdr:col>1</xdr:col>
      <xdr:colOff>1565188</xdr:colOff>
      <xdr:row>10</xdr:row>
      <xdr:rowOff>1098054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BBD098A8-94B1-4801-88A0-60224EE2FF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43050" y="1790700"/>
          <a:ext cx="907676" cy="9257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190453</xdr:colOff>
      <xdr:row>0</xdr:row>
      <xdr:rowOff>79028</xdr:rowOff>
    </xdr:from>
    <xdr:to>
      <xdr:col>1</xdr:col>
      <xdr:colOff>381372</xdr:colOff>
      <xdr:row>1</xdr:row>
      <xdr:rowOff>443433</xdr:rowOff>
    </xdr:to>
    <xdr:pic>
      <xdr:nvPicPr>
        <xdr:cNvPr id="2" name="Resim 2">
          <a:extLst>
            <a:ext uri="{FF2B5EF4-FFF2-40B4-BE49-F238E27FC236}">
              <a16:creationId xmlns:a16="http://schemas.microsoft.com/office/drawing/2014/main" id="{E1410B02-D79F-7765-E2A8-3B206C8B0C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1" y="78441"/>
          <a:ext cx="907676" cy="9257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0:C32"/>
  <sheetViews>
    <sheetView workbookViewId="0">
      <selection activeCell="C17" sqref="C17"/>
    </sheetView>
  </sheetViews>
  <sheetFormatPr defaultColWidth="9.140625" defaultRowHeight="12.75" x14ac:dyDescent="0.2"/>
  <cols>
    <col min="1" max="1" width="13.28515625" customWidth="1"/>
    <col min="2" max="2" width="33.7109375" customWidth="1"/>
    <col min="3" max="3" width="61.28515625" customWidth="1"/>
  </cols>
  <sheetData>
    <row r="10" spans="2:3" ht="13.5" thickBot="1" x14ac:dyDescent="0.25"/>
    <row r="11" spans="2:3" ht="102" customHeight="1" thickBot="1" x14ac:dyDescent="0.25">
      <c r="B11" s="36"/>
      <c r="C11" s="37" t="s">
        <v>28</v>
      </c>
    </row>
    <row r="12" spans="2:3" ht="13.5" thickBot="1" x14ac:dyDescent="0.25"/>
    <row r="13" spans="2:3" x14ac:dyDescent="0.2">
      <c r="B13" s="51" t="s">
        <v>30</v>
      </c>
      <c r="C13" s="52"/>
    </row>
    <row r="14" spans="2:3" ht="13.5" thickBot="1" x14ac:dyDescent="0.25">
      <c r="B14" s="53"/>
      <c r="C14" s="54"/>
    </row>
    <row r="18" spans="2:3" ht="13.5" thickBot="1" x14ac:dyDescent="0.25"/>
    <row r="19" spans="2:3" x14ac:dyDescent="0.2">
      <c r="B19" s="19" t="s">
        <v>8</v>
      </c>
      <c r="C19" s="9"/>
    </row>
    <row r="20" spans="2:3" x14ac:dyDescent="0.2">
      <c r="B20" s="20">
        <f ca="1">TODAY()</f>
        <v>46306</v>
      </c>
      <c r="C20" s="10"/>
    </row>
    <row r="21" spans="2:3" ht="13.5" thickBot="1" x14ac:dyDescent="0.25">
      <c r="B21" s="21">
        <f ca="1">NOW()</f>
        <v>46306.998079166668</v>
      </c>
      <c r="C21" s="10"/>
    </row>
    <row r="22" spans="2:3" ht="15" x14ac:dyDescent="0.25">
      <c r="B22" s="47" t="s">
        <v>23</v>
      </c>
      <c r="C22" s="48"/>
    </row>
    <row r="23" spans="2:3" x14ac:dyDescent="0.2">
      <c r="B23" s="6" t="s">
        <v>19</v>
      </c>
      <c r="C23" s="38" t="s">
        <v>30</v>
      </c>
    </row>
    <row r="24" spans="2:3" x14ac:dyDescent="0.2">
      <c r="B24" s="22" t="s">
        <v>20</v>
      </c>
      <c r="C24" s="39" t="s">
        <v>30</v>
      </c>
    </row>
    <row r="25" spans="2:3" x14ac:dyDescent="0.2">
      <c r="B25" s="23" t="s">
        <v>21</v>
      </c>
      <c r="C25" s="40" t="s">
        <v>31</v>
      </c>
    </row>
    <row r="26" spans="2:3" x14ac:dyDescent="0.2">
      <c r="B26" s="22" t="s">
        <v>9</v>
      </c>
      <c r="C26" s="41" t="s">
        <v>32</v>
      </c>
    </row>
    <row r="27" spans="2:3" ht="13.5" thickBot="1" x14ac:dyDescent="0.25">
      <c r="B27" s="24" t="s">
        <v>22</v>
      </c>
      <c r="C27" s="42" t="s">
        <v>33</v>
      </c>
    </row>
    <row r="28" spans="2:3" ht="13.5" thickBot="1" x14ac:dyDescent="0.25">
      <c r="B28" s="11"/>
      <c r="C28" s="12"/>
    </row>
    <row r="29" spans="2:3" ht="15" x14ac:dyDescent="0.25">
      <c r="B29" s="49" t="s">
        <v>24</v>
      </c>
      <c r="C29" s="50"/>
    </row>
    <row r="30" spans="2:3" x14ac:dyDescent="0.2">
      <c r="B30" s="6" t="s">
        <v>25</v>
      </c>
      <c r="C30" s="43" t="s">
        <v>34</v>
      </c>
    </row>
    <row r="31" spans="2:3" x14ac:dyDescent="0.2">
      <c r="B31" s="7" t="s">
        <v>26</v>
      </c>
      <c r="C31" s="39" t="s">
        <v>35</v>
      </c>
    </row>
    <row r="32" spans="2:3" ht="13.5" thickBot="1" x14ac:dyDescent="0.25">
      <c r="B32" s="8" t="s">
        <v>27</v>
      </c>
      <c r="C32" s="44" t="s">
        <v>36</v>
      </c>
    </row>
  </sheetData>
  <mergeCells count="3">
    <mergeCell ref="B22:C22"/>
    <mergeCell ref="B29:C29"/>
    <mergeCell ref="B13:C14"/>
  </mergeCells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2"/>
  <sheetViews>
    <sheetView tabSelected="1" zoomScale="85" zoomScaleNormal="85" workbookViewId="0">
      <selection activeCell="I19" sqref="I19"/>
    </sheetView>
  </sheetViews>
  <sheetFormatPr defaultColWidth="24.140625" defaultRowHeight="12.75" x14ac:dyDescent="0.2"/>
  <cols>
    <col min="1" max="1" width="10.7109375" style="1" customWidth="1"/>
    <col min="2" max="4" width="28.5703125" style="3" customWidth="1"/>
    <col min="5" max="6" width="28.5703125" style="1" customWidth="1"/>
    <col min="7" max="7" width="41.42578125" style="1" customWidth="1"/>
    <col min="8" max="11" width="28.5703125" style="1" customWidth="1"/>
    <col min="12" max="12" width="24.140625" style="1" customWidth="1"/>
    <col min="13" max="16384" width="24.140625" style="1"/>
  </cols>
  <sheetData>
    <row r="1" spans="1:14" ht="44.25" customHeight="1" x14ac:dyDescent="0.2">
      <c r="A1" s="55" t="s">
        <v>29</v>
      </c>
      <c r="B1" s="56"/>
      <c r="C1" s="56"/>
      <c r="D1" s="57"/>
      <c r="E1" s="17" t="s">
        <v>6</v>
      </c>
      <c r="F1" s="61" t="s">
        <v>30</v>
      </c>
      <c r="G1" s="62"/>
      <c r="H1" s="63"/>
      <c r="I1" s="14" t="s">
        <v>0</v>
      </c>
      <c r="J1" s="45" t="s">
        <v>32</v>
      </c>
      <c r="K1" s="32"/>
      <c r="L1" s="26"/>
      <c r="M1" s="26"/>
    </row>
    <row r="2" spans="1:14" ht="44.25" customHeight="1" thickBot="1" x14ac:dyDescent="0.25">
      <c r="A2" s="58"/>
      <c r="B2" s="59"/>
      <c r="C2" s="59"/>
      <c r="D2" s="60"/>
      <c r="E2" s="18" t="s">
        <v>5</v>
      </c>
      <c r="F2" s="64" t="s">
        <v>37</v>
      </c>
      <c r="G2" s="65"/>
      <c r="H2" s="66"/>
      <c r="I2" s="15" t="s">
        <v>7</v>
      </c>
      <c r="J2" s="25"/>
      <c r="K2" s="26"/>
      <c r="L2" s="26"/>
      <c r="M2" s="26"/>
    </row>
    <row r="3" spans="1:14" s="13" customFormat="1" ht="30" customHeight="1" x14ac:dyDescent="0.2">
      <c r="A3" s="30" t="s">
        <v>10</v>
      </c>
      <c r="B3" s="16" t="s">
        <v>38</v>
      </c>
      <c r="C3" s="16" t="s">
        <v>17</v>
      </c>
      <c r="D3" s="16" t="s">
        <v>14</v>
      </c>
      <c r="E3" s="16" t="s">
        <v>15</v>
      </c>
      <c r="F3" s="16" t="s">
        <v>20</v>
      </c>
      <c r="G3" s="16" t="s">
        <v>4</v>
      </c>
      <c r="H3" s="31" t="s">
        <v>2</v>
      </c>
      <c r="I3" s="16" t="s">
        <v>134</v>
      </c>
      <c r="J3" s="16" t="s">
        <v>12</v>
      </c>
      <c r="K3" s="16" t="s">
        <v>11</v>
      </c>
      <c r="L3" s="34" t="s">
        <v>13</v>
      </c>
      <c r="M3" s="34" t="s">
        <v>16</v>
      </c>
      <c r="N3" s="34" t="s">
        <v>18</v>
      </c>
    </row>
    <row r="4" spans="1:14" s="2" customFormat="1" x14ac:dyDescent="0.2">
      <c r="A4" s="29">
        <f>ROW(A4) - ROW($A$3)</f>
        <v>1</v>
      </c>
      <c r="B4" s="27" t="s">
        <v>39</v>
      </c>
      <c r="C4" s="27" t="s">
        <v>42</v>
      </c>
      <c r="D4" s="33" t="s">
        <v>45</v>
      </c>
      <c r="E4" s="27" t="s">
        <v>57</v>
      </c>
      <c r="F4" s="27" t="s">
        <v>57</v>
      </c>
      <c r="G4" s="27" t="s">
        <v>104</v>
      </c>
      <c r="H4" s="27">
        <v>1</v>
      </c>
      <c r="I4" s="28" t="s">
        <v>139</v>
      </c>
      <c r="J4" s="28" t="s">
        <v>139</v>
      </c>
      <c r="K4" s="33" t="s">
        <v>139</v>
      </c>
      <c r="L4" s="46" t="s">
        <v>139</v>
      </c>
      <c r="M4" s="33" t="s">
        <v>214</v>
      </c>
      <c r="N4" s="33" t="s">
        <v>215</v>
      </c>
    </row>
    <row r="5" spans="1:14" ht="38.25" x14ac:dyDescent="0.2">
      <c r="A5" s="29">
        <f>ROW(A5) - ROW($A$3)</f>
        <v>2</v>
      </c>
      <c r="B5" s="27" t="s">
        <v>39</v>
      </c>
      <c r="C5" s="27" t="s">
        <v>42</v>
      </c>
      <c r="D5" s="35" t="s">
        <v>44</v>
      </c>
      <c r="E5" s="27" t="s">
        <v>58</v>
      </c>
      <c r="F5" s="27" t="s">
        <v>74</v>
      </c>
      <c r="G5" s="27" t="s">
        <v>105</v>
      </c>
      <c r="H5" s="27">
        <v>1</v>
      </c>
      <c r="I5" s="28" t="s">
        <v>140</v>
      </c>
      <c r="J5" s="28" t="s">
        <v>156</v>
      </c>
      <c r="K5" s="26" t="s">
        <v>182</v>
      </c>
      <c r="L5" s="46" t="s">
        <v>188</v>
      </c>
      <c r="M5" s="26" t="s">
        <v>213</v>
      </c>
      <c r="N5" s="26" t="s">
        <v>215</v>
      </c>
    </row>
    <row r="6" spans="1:14" ht="25.5" x14ac:dyDescent="0.2">
      <c r="A6" s="29">
        <f>ROW(A6) - ROW($A$3)</f>
        <v>3</v>
      </c>
      <c r="B6" s="27" t="s">
        <v>39</v>
      </c>
      <c r="C6" s="27" t="s">
        <v>42</v>
      </c>
      <c r="D6" s="35" t="s">
        <v>49</v>
      </c>
      <c r="E6" s="27" t="s">
        <v>64</v>
      </c>
      <c r="F6" s="27" t="s">
        <v>82</v>
      </c>
      <c r="G6" s="27" t="s">
        <v>113</v>
      </c>
      <c r="H6" s="27">
        <v>2</v>
      </c>
      <c r="I6" s="28" t="s">
        <v>146</v>
      </c>
      <c r="J6" s="28" t="s">
        <v>164</v>
      </c>
      <c r="K6" s="26" t="s">
        <v>182</v>
      </c>
      <c r="L6" s="46" t="s">
        <v>196</v>
      </c>
      <c r="M6" s="26" t="s">
        <v>213</v>
      </c>
      <c r="N6" s="26" t="s">
        <v>215</v>
      </c>
    </row>
    <row r="7" spans="1:14" x14ac:dyDescent="0.2">
      <c r="A7" s="29">
        <f>ROW(A7) - ROW($A$3)</f>
        <v>4</v>
      </c>
      <c r="B7" s="27" t="s">
        <v>39</v>
      </c>
      <c r="C7" s="27" t="s">
        <v>42</v>
      </c>
      <c r="D7" s="35" t="s">
        <v>52</v>
      </c>
      <c r="E7" s="27" t="s">
        <v>69</v>
      </c>
      <c r="F7" s="27" t="s">
        <v>91</v>
      </c>
      <c r="G7" s="27" t="s">
        <v>123</v>
      </c>
      <c r="H7" s="27">
        <v>1</v>
      </c>
      <c r="I7" s="28" t="s">
        <v>150</v>
      </c>
      <c r="J7" s="28" t="s">
        <v>173</v>
      </c>
      <c r="K7" s="26" t="s">
        <v>182</v>
      </c>
      <c r="L7" s="46" t="s">
        <v>204</v>
      </c>
      <c r="M7" s="26" t="s">
        <v>213</v>
      </c>
      <c r="N7" s="26" t="s">
        <v>215</v>
      </c>
    </row>
    <row r="8" spans="1:14" x14ac:dyDescent="0.2">
      <c r="A8" s="29">
        <f>ROW(A8) - ROW($A$3)</f>
        <v>5</v>
      </c>
      <c r="B8" s="27" t="s">
        <v>39</v>
      </c>
      <c r="C8" s="27" t="s">
        <v>42</v>
      </c>
      <c r="D8" s="35" t="s">
        <v>52</v>
      </c>
      <c r="E8" s="27" t="s">
        <v>69</v>
      </c>
      <c r="F8" s="27" t="s">
        <v>92</v>
      </c>
      <c r="G8" s="27" t="s">
        <v>125</v>
      </c>
      <c r="H8" s="27">
        <v>2</v>
      </c>
      <c r="I8" s="28" t="s">
        <v>151</v>
      </c>
      <c r="J8" s="28" t="s">
        <v>174</v>
      </c>
      <c r="K8" s="26" t="s">
        <v>182</v>
      </c>
      <c r="L8" s="46" t="s">
        <v>205</v>
      </c>
      <c r="M8" s="26" t="s">
        <v>213</v>
      </c>
      <c r="N8" s="26" t="s">
        <v>215</v>
      </c>
    </row>
    <row r="9" spans="1:14" ht="25.5" x14ac:dyDescent="0.2">
      <c r="A9" s="29">
        <f>ROW(A9) - ROW($A$3)</f>
        <v>6</v>
      </c>
      <c r="B9" s="27" t="s">
        <v>39</v>
      </c>
      <c r="C9" s="27" t="s">
        <v>43</v>
      </c>
      <c r="D9" s="35" t="s">
        <v>44</v>
      </c>
      <c r="E9" s="27" t="s">
        <v>43</v>
      </c>
      <c r="F9" s="27" t="s">
        <v>84</v>
      </c>
      <c r="G9" s="27" t="s">
        <v>115</v>
      </c>
      <c r="H9" s="27">
        <v>2</v>
      </c>
      <c r="I9" s="28" t="s">
        <v>146</v>
      </c>
      <c r="J9" s="28" t="s">
        <v>166</v>
      </c>
      <c r="K9" s="26" t="s">
        <v>182</v>
      </c>
      <c r="L9" s="46" t="s">
        <v>198</v>
      </c>
      <c r="M9" s="26" t="s">
        <v>213</v>
      </c>
      <c r="N9" s="26" t="s">
        <v>215</v>
      </c>
    </row>
    <row r="10" spans="1:14" x14ac:dyDescent="0.2">
      <c r="A10" s="29">
        <f>ROW(A10) - ROW($A$3)</f>
        <v>7</v>
      </c>
      <c r="B10" s="27" t="s">
        <v>39</v>
      </c>
      <c r="C10" s="27" t="s">
        <v>43</v>
      </c>
      <c r="D10" s="33" t="s">
        <v>52</v>
      </c>
      <c r="E10" s="27" t="s">
        <v>69</v>
      </c>
      <c r="F10" s="27" t="s">
        <v>92</v>
      </c>
      <c r="G10" s="27" t="s">
        <v>126</v>
      </c>
      <c r="H10" s="27">
        <v>4</v>
      </c>
      <c r="I10" s="28" t="s">
        <v>151</v>
      </c>
      <c r="J10" s="28" t="s">
        <v>174</v>
      </c>
      <c r="K10" s="33" t="s">
        <v>182</v>
      </c>
      <c r="L10" s="46" t="s">
        <v>205</v>
      </c>
      <c r="M10" s="33" t="s">
        <v>213</v>
      </c>
      <c r="N10" s="33" t="s">
        <v>215</v>
      </c>
    </row>
    <row r="11" spans="1:14" ht="38.25" x14ac:dyDescent="0.2">
      <c r="A11" s="29">
        <f>ROW(A11) - ROW($A$3)</f>
        <v>8</v>
      </c>
      <c r="B11" s="27" t="s">
        <v>39</v>
      </c>
      <c r="C11" s="27" t="s">
        <v>40</v>
      </c>
      <c r="D11" s="33" t="s">
        <v>44</v>
      </c>
      <c r="E11" s="27" t="s">
        <v>53</v>
      </c>
      <c r="F11" s="27" t="s">
        <v>1</v>
      </c>
      <c r="G11" s="27" t="s">
        <v>100</v>
      </c>
      <c r="H11" s="27">
        <v>2</v>
      </c>
      <c r="I11" s="28" t="s">
        <v>135</v>
      </c>
      <c r="J11" s="28" t="s">
        <v>152</v>
      </c>
      <c r="K11" s="33" t="s">
        <v>182</v>
      </c>
      <c r="L11" s="46" t="s">
        <v>184</v>
      </c>
      <c r="M11" s="33" t="s">
        <v>213</v>
      </c>
      <c r="N11" s="33" t="s">
        <v>215</v>
      </c>
    </row>
    <row r="12" spans="1:14" ht="38.25" x14ac:dyDescent="0.2">
      <c r="A12" s="29">
        <f>ROW(A12) - ROW($A$3)</f>
        <v>9</v>
      </c>
      <c r="B12" s="27" t="s">
        <v>39</v>
      </c>
      <c r="C12" s="27" t="s">
        <v>40</v>
      </c>
      <c r="D12" s="33" t="s">
        <v>46</v>
      </c>
      <c r="E12" s="27" t="s">
        <v>55</v>
      </c>
      <c r="F12" s="27" t="s">
        <v>72</v>
      </c>
      <c r="G12" s="27" t="s">
        <v>102</v>
      </c>
      <c r="H12" s="27">
        <v>4</v>
      </c>
      <c r="I12" s="28" t="s">
        <v>137</v>
      </c>
      <c r="J12" s="28" t="s">
        <v>154</v>
      </c>
      <c r="K12" s="33" t="s">
        <v>183</v>
      </c>
      <c r="L12" s="46" t="s">
        <v>186</v>
      </c>
      <c r="M12" s="33" t="s">
        <v>213</v>
      </c>
      <c r="N12" s="33" t="s">
        <v>215</v>
      </c>
    </row>
    <row r="13" spans="1:14" ht="51" x14ac:dyDescent="0.2">
      <c r="A13" s="29">
        <f>ROW(A13) - ROW($A$3)</f>
        <v>10</v>
      </c>
      <c r="B13" s="27" t="s">
        <v>39</v>
      </c>
      <c r="C13" s="27" t="s">
        <v>40</v>
      </c>
      <c r="D13" s="35" t="s">
        <v>46</v>
      </c>
      <c r="E13" s="27" t="s">
        <v>56</v>
      </c>
      <c r="F13" s="27" t="s">
        <v>73</v>
      </c>
      <c r="G13" s="27" t="s">
        <v>103</v>
      </c>
      <c r="H13" s="27">
        <v>2</v>
      </c>
      <c r="I13" s="28" t="s">
        <v>138</v>
      </c>
      <c r="J13" s="28" t="s">
        <v>155</v>
      </c>
      <c r="K13" s="26" t="s">
        <v>183</v>
      </c>
      <c r="L13" s="46" t="s">
        <v>187</v>
      </c>
      <c r="M13" s="26" t="s">
        <v>213</v>
      </c>
      <c r="N13" s="26" t="s">
        <v>215</v>
      </c>
    </row>
    <row r="14" spans="1:14" ht="38.25" x14ac:dyDescent="0.2">
      <c r="A14" s="29">
        <f>ROW(A14) - ROW($A$3)</f>
        <v>11</v>
      </c>
      <c r="B14" s="27" t="s">
        <v>39</v>
      </c>
      <c r="C14" s="27" t="s">
        <v>40</v>
      </c>
      <c r="D14" s="33" t="s">
        <v>44</v>
      </c>
      <c r="E14" s="27" t="s">
        <v>63</v>
      </c>
      <c r="F14" s="27" t="s">
        <v>81</v>
      </c>
      <c r="G14" s="27" t="s">
        <v>112</v>
      </c>
      <c r="H14" s="27">
        <v>2</v>
      </c>
      <c r="I14" s="28" t="s">
        <v>145</v>
      </c>
      <c r="J14" s="28" t="s">
        <v>163</v>
      </c>
      <c r="K14" s="33" t="s">
        <v>182</v>
      </c>
      <c r="L14" s="46" t="s">
        <v>195</v>
      </c>
      <c r="M14" s="33" t="s">
        <v>213</v>
      </c>
      <c r="N14" s="33" t="s">
        <v>215</v>
      </c>
    </row>
    <row r="15" spans="1:14" ht="51" x14ac:dyDescent="0.2">
      <c r="A15" s="29">
        <f>ROW(A15) - ROW($A$3)</f>
        <v>12</v>
      </c>
      <c r="B15" s="27" t="s">
        <v>39</v>
      </c>
      <c r="C15" s="27" t="s">
        <v>40</v>
      </c>
      <c r="D15" s="33" t="s">
        <v>50</v>
      </c>
      <c r="E15" s="27" t="s">
        <v>66</v>
      </c>
      <c r="F15" s="27" t="s">
        <v>87</v>
      </c>
      <c r="G15" s="27" t="s">
        <v>118</v>
      </c>
      <c r="H15" s="27">
        <v>2</v>
      </c>
      <c r="I15" s="28" t="s">
        <v>146</v>
      </c>
      <c r="J15" s="28" t="s">
        <v>169</v>
      </c>
      <c r="K15" s="33" t="s">
        <v>182</v>
      </c>
      <c r="L15" s="46" t="s">
        <v>201</v>
      </c>
      <c r="M15" s="33" t="s">
        <v>213</v>
      </c>
      <c r="N15" s="33" t="s">
        <v>215</v>
      </c>
    </row>
    <row r="16" spans="1:14" x14ac:dyDescent="0.2">
      <c r="A16" s="29">
        <f>ROW(A16) - ROW($A$3)</f>
        <v>13</v>
      </c>
      <c r="B16" s="27" t="s">
        <v>39</v>
      </c>
      <c r="C16" s="27" t="s">
        <v>40</v>
      </c>
      <c r="D16" s="35" t="s">
        <v>51</v>
      </c>
      <c r="E16" s="27" t="s">
        <v>68</v>
      </c>
      <c r="F16" s="27" t="s">
        <v>88</v>
      </c>
      <c r="G16" s="27" t="s">
        <v>119</v>
      </c>
      <c r="H16" s="27">
        <v>2</v>
      </c>
      <c r="I16" s="28" t="s">
        <v>148</v>
      </c>
      <c r="J16" s="28" t="s">
        <v>170</v>
      </c>
      <c r="K16" s="26" t="s">
        <v>182</v>
      </c>
      <c r="L16" s="46" t="s">
        <v>170</v>
      </c>
      <c r="M16" s="26" t="s">
        <v>213</v>
      </c>
      <c r="N16" s="26" t="s">
        <v>215</v>
      </c>
    </row>
    <row r="17" spans="1:14" x14ac:dyDescent="0.2">
      <c r="A17" s="29">
        <f>ROW(A17) - ROW($A$3)</f>
        <v>14</v>
      </c>
      <c r="B17" s="27" t="s">
        <v>39</v>
      </c>
      <c r="C17" s="27" t="s">
        <v>40</v>
      </c>
      <c r="D17" s="35" t="s">
        <v>51</v>
      </c>
      <c r="E17" s="27" t="s">
        <v>68</v>
      </c>
      <c r="F17" s="27" t="s">
        <v>90</v>
      </c>
      <c r="G17" s="27" t="s">
        <v>121</v>
      </c>
      <c r="H17" s="27">
        <v>2</v>
      </c>
      <c r="I17" s="28" t="s">
        <v>149</v>
      </c>
      <c r="J17" s="28" t="s">
        <v>172</v>
      </c>
      <c r="K17" s="26" t="s">
        <v>182</v>
      </c>
      <c r="L17" s="46" t="s">
        <v>203</v>
      </c>
      <c r="M17" s="26" t="s">
        <v>213</v>
      </c>
      <c r="N17" s="26" t="s">
        <v>215</v>
      </c>
    </row>
    <row r="18" spans="1:14" x14ac:dyDescent="0.2">
      <c r="A18" s="29">
        <f>ROW(A18) - ROW($A$3)</f>
        <v>15</v>
      </c>
      <c r="B18" s="27" t="s">
        <v>39</v>
      </c>
      <c r="C18" s="27" t="s">
        <v>40</v>
      </c>
      <c r="D18" s="33" t="s">
        <v>52</v>
      </c>
      <c r="E18" s="27" t="s">
        <v>69</v>
      </c>
      <c r="F18" s="27" t="s">
        <v>91</v>
      </c>
      <c r="G18" s="27" t="s">
        <v>124</v>
      </c>
      <c r="H18" s="27">
        <v>2</v>
      </c>
      <c r="I18" s="28" t="s">
        <v>150</v>
      </c>
      <c r="J18" s="28" t="s">
        <v>173</v>
      </c>
      <c r="K18" s="33" t="s">
        <v>182</v>
      </c>
      <c r="L18" s="46" t="s">
        <v>204</v>
      </c>
      <c r="M18" s="33" t="s">
        <v>213</v>
      </c>
      <c r="N18" s="33" t="s">
        <v>215</v>
      </c>
    </row>
    <row r="19" spans="1:14" x14ac:dyDescent="0.2">
      <c r="A19" s="29">
        <f>ROW(A19) - ROW($A$3)</f>
        <v>16</v>
      </c>
      <c r="B19" s="27" t="s">
        <v>39</v>
      </c>
      <c r="C19" s="27" t="s">
        <v>40</v>
      </c>
      <c r="D19" s="35" t="s">
        <v>51</v>
      </c>
      <c r="E19" s="27" t="s">
        <v>68</v>
      </c>
      <c r="F19" s="27" t="s">
        <v>99</v>
      </c>
      <c r="G19" s="27" t="s">
        <v>133</v>
      </c>
      <c r="H19" s="27">
        <v>4</v>
      </c>
      <c r="I19" s="28" t="s">
        <v>149</v>
      </c>
      <c r="J19" s="28" t="s">
        <v>181</v>
      </c>
      <c r="K19" s="26" t="s">
        <v>182</v>
      </c>
      <c r="L19" s="46" t="s">
        <v>212</v>
      </c>
      <c r="M19" s="26" t="s">
        <v>213</v>
      </c>
      <c r="N19" s="26" t="s">
        <v>215</v>
      </c>
    </row>
    <row r="20" spans="1:14" ht="25.5" x14ac:dyDescent="0.2">
      <c r="A20" s="29">
        <f>ROW(A20) - ROW($A$3)</f>
        <v>17</v>
      </c>
      <c r="B20" s="27" t="s">
        <v>39</v>
      </c>
      <c r="C20" s="27" t="s">
        <v>41</v>
      </c>
      <c r="D20" s="35" t="s">
        <v>45</v>
      </c>
      <c r="E20" s="27" t="s">
        <v>54</v>
      </c>
      <c r="F20" s="27" t="s">
        <v>71</v>
      </c>
      <c r="G20" s="27" t="s">
        <v>101</v>
      </c>
      <c r="H20" s="27">
        <v>4</v>
      </c>
      <c r="I20" s="28" t="s">
        <v>136</v>
      </c>
      <c r="J20" s="28" t="s">
        <v>153</v>
      </c>
      <c r="K20" s="26" t="s">
        <v>182</v>
      </c>
      <c r="L20" s="46" t="s">
        <v>185</v>
      </c>
      <c r="M20" s="26" t="s">
        <v>214</v>
      </c>
      <c r="N20" s="26" t="s">
        <v>215</v>
      </c>
    </row>
    <row r="21" spans="1:14" x14ac:dyDescent="0.2">
      <c r="A21" s="29">
        <f>ROW(A21) - ROW($A$3)</f>
        <v>18</v>
      </c>
      <c r="B21" s="27" t="s">
        <v>39</v>
      </c>
      <c r="C21" s="27" t="s">
        <v>41</v>
      </c>
      <c r="D21" s="33" t="s">
        <v>47</v>
      </c>
      <c r="E21" s="27" t="s">
        <v>59</v>
      </c>
      <c r="F21" s="27" t="s">
        <v>75</v>
      </c>
      <c r="G21" s="27" t="s">
        <v>106</v>
      </c>
      <c r="H21" s="27">
        <v>1</v>
      </c>
      <c r="I21" s="28" t="s">
        <v>141</v>
      </c>
      <c r="J21" s="28" t="s">
        <v>157</v>
      </c>
      <c r="K21" s="33" t="s">
        <v>182</v>
      </c>
      <c r="L21" s="46" t="s">
        <v>189</v>
      </c>
      <c r="M21" s="33" t="s">
        <v>213</v>
      </c>
      <c r="N21" s="33" t="s">
        <v>215</v>
      </c>
    </row>
    <row r="22" spans="1:14" x14ac:dyDescent="0.2">
      <c r="A22" s="29">
        <f>ROW(A22) - ROW($A$3)</f>
        <v>19</v>
      </c>
      <c r="B22" s="27" t="s">
        <v>39</v>
      </c>
      <c r="C22" s="27" t="s">
        <v>41</v>
      </c>
      <c r="D22" s="35" t="s">
        <v>47</v>
      </c>
      <c r="E22" s="27" t="s">
        <v>59</v>
      </c>
      <c r="F22" s="27" t="s">
        <v>76</v>
      </c>
      <c r="G22" s="27" t="s">
        <v>107</v>
      </c>
      <c r="H22" s="27">
        <v>2</v>
      </c>
      <c r="I22" s="28" t="s">
        <v>141</v>
      </c>
      <c r="J22" s="28" t="s">
        <v>158</v>
      </c>
      <c r="K22" s="26" t="s">
        <v>182</v>
      </c>
      <c r="L22" s="46" t="s">
        <v>190</v>
      </c>
      <c r="M22" s="26" t="s">
        <v>213</v>
      </c>
      <c r="N22" s="26" t="s">
        <v>215</v>
      </c>
    </row>
    <row r="23" spans="1:14" x14ac:dyDescent="0.2">
      <c r="A23" s="29">
        <f>ROW(A23) - ROW($A$3)</f>
        <v>20</v>
      </c>
      <c r="B23" s="27" t="s">
        <v>39</v>
      </c>
      <c r="C23" s="27" t="s">
        <v>41</v>
      </c>
      <c r="D23" s="33" t="s">
        <v>47</v>
      </c>
      <c r="E23" s="27" t="s">
        <v>59</v>
      </c>
      <c r="F23" s="27" t="s">
        <v>77</v>
      </c>
      <c r="G23" s="27" t="s">
        <v>108</v>
      </c>
      <c r="H23" s="27">
        <v>1</v>
      </c>
      <c r="I23" s="28" t="s">
        <v>141</v>
      </c>
      <c r="J23" s="28" t="s">
        <v>159</v>
      </c>
      <c r="K23" s="33" t="s">
        <v>182</v>
      </c>
      <c r="L23" s="46" t="s">
        <v>191</v>
      </c>
      <c r="M23" s="33" t="s">
        <v>213</v>
      </c>
      <c r="N23" s="33" t="s">
        <v>215</v>
      </c>
    </row>
    <row r="24" spans="1:14" ht="38.25" x14ac:dyDescent="0.2">
      <c r="A24" s="29">
        <f>ROW(A24) - ROW($A$3)</f>
        <v>21</v>
      </c>
      <c r="B24" s="27" t="s">
        <v>39</v>
      </c>
      <c r="C24" s="27" t="s">
        <v>41</v>
      </c>
      <c r="D24" s="35" t="s">
        <v>44</v>
      </c>
      <c r="E24" s="27" t="s">
        <v>60</v>
      </c>
      <c r="F24" s="27" t="s">
        <v>78</v>
      </c>
      <c r="G24" s="27" t="s">
        <v>109</v>
      </c>
      <c r="H24" s="27">
        <v>1</v>
      </c>
      <c r="I24" s="28" t="s">
        <v>142</v>
      </c>
      <c r="J24" s="28" t="s">
        <v>160</v>
      </c>
      <c r="K24" s="26" t="s">
        <v>182</v>
      </c>
      <c r="L24" s="46" t="s">
        <v>192</v>
      </c>
      <c r="M24" s="26" t="s">
        <v>213</v>
      </c>
      <c r="N24" s="26" t="s">
        <v>215</v>
      </c>
    </row>
    <row r="25" spans="1:14" ht="25.5" x14ac:dyDescent="0.2">
      <c r="A25" s="29">
        <f>ROW(A25) - ROW($A$3)</f>
        <v>22</v>
      </c>
      <c r="B25" s="27" t="s">
        <v>39</v>
      </c>
      <c r="C25" s="27" t="s">
        <v>41</v>
      </c>
      <c r="D25" s="33" t="s">
        <v>44</v>
      </c>
      <c r="E25" s="27" t="s">
        <v>61</v>
      </c>
      <c r="F25" s="27" t="s">
        <v>79</v>
      </c>
      <c r="G25" s="27" t="s">
        <v>110</v>
      </c>
      <c r="H25" s="27">
        <v>1</v>
      </c>
      <c r="I25" s="28" t="s">
        <v>143</v>
      </c>
      <c r="J25" s="28" t="s">
        <v>161</v>
      </c>
      <c r="K25" s="33" t="s">
        <v>182</v>
      </c>
      <c r="L25" s="46" t="s">
        <v>193</v>
      </c>
      <c r="M25" s="33" t="s">
        <v>213</v>
      </c>
      <c r="N25" s="33" t="s">
        <v>215</v>
      </c>
    </row>
    <row r="26" spans="1:14" x14ac:dyDescent="0.2">
      <c r="A26" s="29">
        <f>ROW(A26) - ROW($A$3)</f>
        <v>23</v>
      </c>
      <c r="B26" s="27" t="s">
        <v>39</v>
      </c>
      <c r="C26" s="27" t="s">
        <v>41</v>
      </c>
      <c r="D26" s="35" t="s">
        <v>48</v>
      </c>
      <c r="E26" s="27" t="s">
        <v>62</v>
      </c>
      <c r="F26" s="27" t="s">
        <v>80</v>
      </c>
      <c r="G26" s="27" t="s">
        <v>111</v>
      </c>
      <c r="H26" s="27">
        <v>1</v>
      </c>
      <c r="I26" s="28" t="s">
        <v>144</v>
      </c>
      <c r="J26" s="28" t="s">
        <v>162</v>
      </c>
      <c r="K26" s="26" t="s">
        <v>182</v>
      </c>
      <c r="L26" s="46" t="s">
        <v>194</v>
      </c>
      <c r="M26" s="26" t="s">
        <v>213</v>
      </c>
      <c r="N26" s="26" t="s">
        <v>215</v>
      </c>
    </row>
    <row r="27" spans="1:14" ht="25.5" x14ac:dyDescent="0.2">
      <c r="A27" s="29">
        <f>ROW(A27) - ROW($A$3)</f>
        <v>24</v>
      </c>
      <c r="B27" s="27" t="s">
        <v>39</v>
      </c>
      <c r="C27" s="27" t="s">
        <v>41</v>
      </c>
      <c r="D27" s="33" t="s">
        <v>49</v>
      </c>
      <c r="E27" s="27" t="s">
        <v>65</v>
      </c>
      <c r="F27" s="27" t="s">
        <v>83</v>
      </c>
      <c r="G27" s="27" t="s">
        <v>114</v>
      </c>
      <c r="H27" s="27">
        <v>1</v>
      </c>
      <c r="I27" s="28" t="s">
        <v>146</v>
      </c>
      <c r="J27" s="28" t="s">
        <v>165</v>
      </c>
      <c r="K27" s="33" t="s">
        <v>182</v>
      </c>
      <c r="L27" s="46" t="s">
        <v>197</v>
      </c>
      <c r="M27" s="33" t="s">
        <v>213</v>
      </c>
      <c r="N27" s="33" t="s">
        <v>215</v>
      </c>
    </row>
    <row r="28" spans="1:14" ht="38.25" x14ac:dyDescent="0.2">
      <c r="A28" s="29">
        <f>ROW(A28) - ROW($A$3)</f>
        <v>25</v>
      </c>
      <c r="B28" s="27" t="s">
        <v>39</v>
      </c>
      <c r="C28" s="27" t="s">
        <v>41</v>
      </c>
      <c r="D28" s="33" t="s">
        <v>50</v>
      </c>
      <c r="E28" s="27" t="s">
        <v>66</v>
      </c>
      <c r="F28" s="27" t="s">
        <v>85</v>
      </c>
      <c r="G28" s="27" t="s">
        <v>116</v>
      </c>
      <c r="H28" s="27">
        <v>1</v>
      </c>
      <c r="I28" s="28" t="s">
        <v>147</v>
      </c>
      <c r="J28" s="28" t="s">
        <v>167</v>
      </c>
      <c r="K28" s="33" t="s">
        <v>182</v>
      </c>
      <c r="L28" s="46" t="s">
        <v>199</v>
      </c>
      <c r="M28" s="33" t="s">
        <v>213</v>
      </c>
      <c r="N28" s="33" t="s">
        <v>215</v>
      </c>
    </row>
    <row r="29" spans="1:14" ht="51" x14ac:dyDescent="0.2">
      <c r="A29" s="29">
        <f>ROW(A29) - ROW($A$3)</f>
        <v>26</v>
      </c>
      <c r="B29" s="27" t="s">
        <v>39</v>
      </c>
      <c r="C29" s="27" t="s">
        <v>41</v>
      </c>
      <c r="D29" s="35" t="s">
        <v>47</v>
      </c>
      <c r="E29" s="27" t="s">
        <v>67</v>
      </c>
      <c r="F29" s="27" t="s">
        <v>86</v>
      </c>
      <c r="G29" s="27" t="s">
        <v>117</v>
      </c>
      <c r="H29" s="27">
        <v>1</v>
      </c>
      <c r="I29" s="28" t="s">
        <v>147</v>
      </c>
      <c r="J29" s="28" t="s">
        <v>168</v>
      </c>
      <c r="K29" s="26" t="s">
        <v>182</v>
      </c>
      <c r="L29" s="46" t="s">
        <v>200</v>
      </c>
      <c r="M29" s="26" t="s">
        <v>213</v>
      </c>
      <c r="N29" s="26" t="s">
        <v>215</v>
      </c>
    </row>
    <row r="30" spans="1:14" x14ac:dyDescent="0.2">
      <c r="A30" s="29">
        <f>ROW(A30) - ROW($A$3)</f>
        <v>27</v>
      </c>
      <c r="B30" s="27" t="s">
        <v>39</v>
      </c>
      <c r="C30" s="27" t="s">
        <v>41</v>
      </c>
      <c r="D30" s="33" t="s">
        <v>51</v>
      </c>
      <c r="E30" s="27" t="s">
        <v>68</v>
      </c>
      <c r="F30" s="27" t="s">
        <v>89</v>
      </c>
      <c r="G30" s="27" t="s">
        <v>120</v>
      </c>
      <c r="H30" s="27">
        <v>4</v>
      </c>
      <c r="I30" s="28" t="s">
        <v>149</v>
      </c>
      <c r="J30" s="28" t="s">
        <v>171</v>
      </c>
      <c r="K30" s="33" t="s">
        <v>182</v>
      </c>
      <c r="L30" s="46" t="s">
        <v>202</v>
      </c>
      <c r="M30" s="33" t="s">
        <v>213</v>
      </c>
      <c r="N30" s="33" t="s">
        <v>215</v>
      </c>
    </row>
    <row r="31" spans="1:14" x14ac:dyDescent="0.2">
      <c r="A31" s="29">
        <f>ROW(A31) - ROW($A$3)</f>
        <v>28</v>
      </c>
      <c r="B31" s="27" t="s">
        <v>39</v>
      </c>
      <c r="C31" s="27" t="s">
        <v>41</v>
      </c>
      <c r="D31" s="33" t="s">
        <v>52</v>
      </c>
      <c r="E31" s="27" t="s">
        <v>69</v>
      </c>
      <c r="F31" s="27" t="s">
        <v>91</v>
      </c>
      <c r="G31" s="27" t="s">
        <v>122</v>
      </c>
      <c r="H31" s="27">
        <v>2</v>
      </c>
      <c r="I31" s="28" t="s">
        <v>150</v>
      </c>
      <c r="J31" s="28" t="s">
        <v>173</v>
      </c>
      <c r="K31" s="33" t="s">
        <v>182</v>
      </c>
      <c r="L31" s="46" t="s">
        <v>204</v>
      </c>
      <c r="M31" s="33" t="s">
        <v>213</v>
      </c>
      <c r="N31" s="33" t="s">
        <v>215</v>
      </c>
    </row>
    <row r="32" spans="1:14" ht="38.25" x14ac:dyDescent="0.2">
      <c r="A32" s="29">
        <f>ROW(A32) - ROW($A$3)</f>
        <v>29</v>
      </c>
      <c r="B32" s="27" t="s">
        <v>39</v>
      </c>
      <c r="C32" s="27" t="s">
        <v>41</v>
      </c>
      <c r="D32" s="35" t="s">
        <v>52</v>
      </c>
      <c r="E32" s="27" t="s">
        <v>69</v>
      </c>
      <c r="F32" s="27" t="s">
        <v>93</v>
      </c>
      <c r="G32" s="27" t="s">
        <v>127</v>
      </c>
      <c r="H32" s="27">
        <v>1</v>
      </c>
      <c r="I32" s="28" t="s">
        <v>150</v>
      </c>
      <c r="J32" s="28" t="s">
        <v>175</v>
      </c>
      <c r="K32" s="26" t="s">
        <v>182</v>
      </c>
      <c r="L32" s="46" t="s">
        <v>206</v>
      </c>
      <c r="M32" s="26" t="s">
        <v>213</v>
      </c>
      <c r="N32" s="26" t="s">
        <v>215</v>
      </c>
    </row>
    <row r="33" spans="1:14" x14ac:dyDescent="0.2">
      <c r="A33" s="29">
        <f>ROW(A33) - ROW($A$3)</f>
        <v>30</v>
      </c>
      <c r="B33" s="27" t="s">
        <v>39</v>
      </c>
      <c r="C33" s="27" t="s">
        <v>41</v>
      </c>
      <c r="D33" s="33" t="s">
        <v>51</v>
      </c>
      <c r="E33" s="27" t="s">
        <v>68</v>
      </c>
      <c r="F33" s="27" t="s">
        <v>94</v>
      </c>
      <c r="G33" s="27" t="s">
        <v>128</v>
      </c>
      <c r="H33" s="27">
        <v>4</v>
      </c>
      <c r="I33" s="28" t="s">
        <v>149</v>
      </c>
      <c r="J33" s="28" t="s">
        <v>176</v>
      </c>
      <c r="K33" s="33" t="s">
        <v>182</v>
      </c>
      <c r="L33" s="46" t="s">
        <v>207</v>
      </c>
      <c r="M33" s="33" t="s">
        <v>213</v>
      </c>
      <c r="N33" s="33" t="s">
        <v>215</v>
      </c>
    </row>
    <row r="34" spans="1:14" x14ac:dyDescent="0.2">
      <c r="A34" s="29">
        <f>ROW(A34) - ROW($A$3)</f>
        <v>31</v>
      </c>
      <c r="B34" s="27" t="s">
        <v>39</v>
      </c>
      <c r="C34" s="27" t="s">
        <v>41</v>
      </c>
      <c r="D34" s="35" t="s">
        <v>51</v>
      </c>
      <c r="E34" s="27" t="s">
        <v>68</v>
      </c>
      <c r="F34" s="27" t="s">
        <v>95</v>
      </c>
      <c r="G34" s="27" t="s">
        <v>129</v>
      </c>
      <c r="H34" s="27">
        <v>2</v>
      </c>
      <c r="I34" s="28" t="s">
        <v>149</v>
      </c>
      <c r="J34" s="28" t="s">
        <v>177</v>
      </c>
      <c r="K34" s="26" t="s">
        <v>182</v>
      </c>
      <c r="L34" s="46" t="s">
        <v>208</v>
      </c>
      <c r="M34" s="26" t="s">
        <v>213</v>
      </c>
      <c r="N34" s="26" t="s">
        <v>215</v>
      </c>
    </row>
    <row r="35" spans="1:14" x14ac:dyDescent="0.2">
      <c r="A35" s="29">
        <f>ROW(A35) - ROW($A$3)</f>
        <v>32</v>
      </c>
      <c r="B35" s="27" t="s">
        <v>39</v>
      </c>
      <c r="C35" s="27" t="s">
        <v>41</v>
      </c>
      <c r="D35" s="35" t="s">
        <v>52</v>
      </c>
      <c r="E35" s="27" t="s">
        <v>69</v>
      </c>
      <c r="F35" s="27" t="s">
        <v>97</v>
      </c>
      <c r="G35" s="27" t="s">
        <v>131</v>
      </c>
      <c r="H35" s="27">
        <v>2</v>
      </c>
      <c r="I35" s="28" t="s">
        <v>150</v>
      </c>
      <c r="J35" s="28" t="s">
        <v>179</v>
      </c>
      <c r="K35" s="26" t="s">
        <v>182</v>
      </c>
      <c r="L35" s="46" t="s">
        <v>210</v>
      </c>
      <c r="M35" s="26" t="s">
        <v>213</v>
      </c>
      <c r="N35" s="26" t="s">
        <v>215</v>
      </c>
    </row>
    <row r="36" spans="1:14" ht="38.25" x14ac:dyDescent="0.2">
      <c r="A36" s="29">
        <f>ROW(A36) - ROW($A$3)</f>
        <v>33</v>
      </c>
      <c r="B36" s="27" t="s">
        <v>39</v>
      </c>
      <c r="C36" s="27" t="s">
        <v>41</v>
      </c>
      <c r="D36" s="33" t="s">
        <v>52</v>
      </c>
      <c r="E36" s="27" t="s">
        <v>69</v>
      </c>
      <c r="F36" s="27" t="s">
        <v>98</v>
      </c>
      <c r="G36" s="27" t="s">
        <v>132</v>
      </c>
      <c r="H36" s="27">
        <v>1</v>
      </c>
      <c r="I36" s="28" t="s">
        <v>150</v>
      </c>
      <c r="J36" s="28" t="s">
        <v>180</v>
      </c>
      <c r="K36" s="33" t="s">
        <v>182</v>
      </c>
      <c r="L36" s="46" t="s">
        <v>211</v>
      </c>
      <c r="M36" s="33" t="s">
        <v>213</v>
      </c>
      <c r="N36" s="33" t="s">
        <v>215</v>
      </c>
    </row>
    <row r="37" spans="1:14" ht="38.25" x14ac:dyDescent="0.2">
      <c r="A37" s="29">
        <f>ROW(A37) - ROW($A$3)</f>
        <v>34</v>
      </c>
      <c r="B37" s="27" t="s">
        <v>39</v>
      </c>
      <c r="C37" s="27"/>
      <c r="D37" s="33" t="s">
        <v>50</v>
      </c>
      <c r="E37" s="27" t="s">
        <v>70</v>
      </c>
      <c r="F37" s="27" t="s">
        <v>96</v>
      </c>
      <c r="G37" s="27" t="s">
        <v>130</v>
      </c>
      <c r="H37" s="27">
        <v>1</v>
      </c>
      <c r="I37" s="28" t="s">
        <v>146</v>
      </c>
      <c r="J37" s="28" t="s">
        <v>178</v>
      </c>
      <c r="K37" s="33" t="s">
        <v>182</v>
      </c>
      <c r="L37" s="46" t="s">
        <v>209</v>
      </c>
      <c r="M37" s="33" t="s">
        <v>213</v>
      </c>
      <c r="N37" s="33" t="s">
        <v>215</v>
      </c>
    </row>
    <row r="38" spans="1:14" ht="30" customHeight="1" x14ac:dyDescent="0.2">
      <c r="A38" s="5"/>
      <c r="B38" s="5"/>
      <c r="C38" s="5"/>
      <c r="D38" s="4"/>
      <c r="E38" s="4"/>
      <c r="F38" s="4"/>
      <c r="G38" s="4"/>
      <c r="H38" s="4"/>
      <c r="I38" s="4"/>
      <c r="J38" s="4" t="s">
        <v>3</v>
      </c>
    </row>
    <row r="42" spans="1:14" x14ac:dyDescent="0.2">
      <c r="N42"/>
    </row>
  </sheetData>
  <autoFilter ref="A3:N38" xr:uid="{00000000-0009-0000-0000-000001000000}">
    <sortState xmlns:xlrd2="http://schemas.microsoft.com/office/spreadsheetml/2017/richdata2" ref="A4:N38">
      <sortCondition ref="C3"/>
    </sortState>
  </autoFilter>
  <mergeCells count="3">
    <mergeCell ref="A1:D2"/>
    <mergeCell ref="F1:H1"/>
    <mergeCell ref="F2:H2"/>
  </mergeCells>
  <conditionalFormatting sqref="B4:C5 E4:J5 B37:C37 E37:J37">
    <cfRule type="expression" dxfId="7" priority="3" stopIfTrue="1">
      <formula>#REF!=0</formula>
    </cfRule>
    <cfRule type="expression" dxfId="6" priority="4" stopIfTrue="1">
      <formula>-#REF!&gt;0</formula>
    </cfRule>
  </conditionalFormatting>
  <conditionalFormatting sqref="B6:C36 E6:J36">
    <cfRule type="expression" dxfId="5" priority="5" stopIfTrue="1">
      <formula>#REF!=0</formula>
    </cfRule>
    <cfRule type="expression" dxfId="4" priority="5" stopIfTrue="1">
      <formula>-#REF!&gt;0</formula>
    </cfRule>
  </conditionalFormatting>
  <conditionalFormatting sqref="L4:L5 L37">
    <cfRule type="expression" dxfId="3" priority="1" stopIfTrue="1">
      <formula>#REF!=0</formula>
    </cfRule>
    <cfRule type="expression" dxfId="2" priority="2" stopIfTrue="1">
      <formula>-#REF!&gt;0</formula>
    </cfRule>
  </conditionalFormatting>
  <conditionalFormatting sqref="L6:L36">
    <cfRule type="expression" dxfId="1" priority="6" stopIfTrue="1">
      <formula>#REF!=0</formula>
    </cfRule>
    <cfRule type="expression" dxfId="0" priority="6" stopIfTrue="1">
      <formula>-#REF!&gt;0</formula>
    </cfRule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Project Information</vt:lpstr>
      <vt:lpstr>Part List Report</vt:lpstr>
    </vt:vector>
  </TitlesOfParts>
  <Company>Altium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Cemil kendir</dc:creator>
  <cp:lastModifiedBy>cemil kendir</cp:lastModifiedBy>
  <cp:lastPrinted>2005-05-16T01:11:50Z</cp:lastPrinted>
  <dcterms:created xsi:type="dcterms:W3CDTF">2002-11-05T15:28:02Z</dcterms:created>
  <dcterms:modified xsi:type="dcterms:W3CDTF">2026-10-11T21:57:18Z</dcterms:modified>
</cp:coreProperties>
</file>